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mple estimate" sheetId="2" state="visible" r:id="rId2"/>
    <sheet xmlns:r="http://schemas.openxmlformats.org/officeDocument/2006/relationships" name="Timing &amp; rate limits" sheetId="3" state="visible" r:id="rId3"/>
    <sheet xmlns:r="http://schemas.openxmlformats.org/officeDocument/2006/relationships" name="Search calls (2)" sheetId="4" state="visible" r:id="rId4"/>
    <sheet xmlns:r="http://schemas.openxmlformats.org/officeDocument/2006/relationships" name="Detail calls (4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10198"/>
      </patternFill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Program</t>
        </is>
      </c>
      <c r="B2" t="inlineStr">
        <is>
          <t>651</t>
        </is>
      </c>
    </row>
    <row r="3">
      <c r="A3" t="inlineStr">
        <is>
          <t>Departure from / to</t>
        </is>
      </c>
      <c r="B3" t="inlineStr">
        <is>
          <t>2026-07-01 / 2026-09-30</t>
        </is>
      </c>
    </row>
    <row r="4">
      <c r="A4" t="inlineStr">
        <is>
          <t>Statuses</t>
        </is>
      </c>
      <c r="B4" t="inlineStr">
        <is>
          <t>Arrived, InTransit</t>
        </is>
      </c>
    </row>
    <row r="5">
      <c r="A5" t="inlineStr">
        <is>
          <t>Trips found with those statuses</t>
        </is>
      </c>
      <c r="B5" t="n">
        <v>93</v>
      </c>
    </row>
    <row r="6">
      <c r="A6" t="inlineStr">
        <is>
          <t>Trips departing in the quarter</t>
        </is>
      </c>
      <c r="B6" t="n">
        <v>4</v>
      </c>
    </row>
    <row r="7">
      <c r="A7" t="inlineStr">
        <is>
          <t>Trips without a departure date</t>
        </is>
      </c>
      <c r="B7" t="n">
        <v>0</v>
      </c>
    </row>
    <row r="8"/>
    <row r="9">
      <c r="A9" t="inlineStr">
        <is>
          <t>CALL 2, trip search</t>
        </is>
      </c>
    </row>
    <row r="10">
      <c r="A10" t="inlineStr">
        <is>
          <t>calls</t>
        </is>
      </c>
      <c r="B10" t="n">
        <v>3</v>
      </c>
    </row>
    <row r="11">
      <c r="A11" t="inlineStr">
        <is>
          <t>total s</t>
        </is>
      </c>
      <c r="B11" t="n">
        <v>5.7</v>
      </c>
    </row>
    <row r="12">
      <c r="A12" t="inlineStr">
        <is>
          <t>mean s</t>
        </is>
      </c>
      <c r="B12" t="n">
        <v>1.9</v>
      </c>
    </row>
    <row r="13">
      <c r="A13" t="inlineStr">
        <is>
          <t>median s</t>
        </is>
      </c>
      <c r="B13" t="n">
        <v>1.9</v>
      </c>
    </row>
    <row r="14">
      <c r="A14" t="inlineStr">
        <is>
          <t>p90 s</t>
        </is>
      </c>
      <c r="B14" t="n">
        <v>3.14</v>
      </c>
    </row>
    <row r="15">
      <c r="A15" t="inlineStr">
        <is>
          <t>max s</t>
        </is>
      </c>
      <c r="B15" t="n">
        <v>3.14</v>
      </c>
    </row>
    <row r="16">
      <c r="A16" t="inlineStr">
        <is>
          <t>min s</t>
        </is>
      </c>
      <c r="B16" t="n">
        <v>0.66</v>
      </c>
    </row>
    <row r="17">
      <c r="A17" t="inlineStr">
        <is>
          <t>avg KB</t>
        </is>
      </c>
      <c r="B17" t="n">
        <v>195.3</v>
      </c>
    </row>
    <row r="18">
      <c r="A18" t="inlineStr">
        <is>
          <t>avg first byte s</t>
        </is>
      </c>
      <c r="B18" t="n">
        <v>1.43</v>
      </c>
    </row>
    <row r="19"/>
    <row r="20">
      <c r="A20" t="inlineStr">
        <is>
          <t>CALL 4, trip detail (all)</t>
        </is>
      </c>
    </row>
    <row r="21">
      <c r="A21" t="inlineStr">
        <is>
          <t>calls</t>
        </is>
      </c>
      <c r="B21" t="n">
        <v>4</v>
      </c>
    </row>
    <row r="22">
      <c r="A22" t="inlineStr">
        <is>
          <t>total s</t>
        </is>
      </c>
      <c r="B22" t="n">
        <v>4.3</v>
      </c>
    </row>
    <row r="23">
      <c r="A23" t="inlineStr">
        <is>
          <t>mean s</t>
        </is>
      </c>
      <c r="B23" t="n">
        <v>1.07</v>
      </c>
    </row>
    <row r="24">
      <c r="A24" t="inlineStr">
        <is>
          <t>median s</t>
        </is>
      </c>
      <c r="B24" t="n">
        <v>1</v>
      </c>
    </row>
    <row r="25">
      <c r="A25" t="inlineStr">
        <is>
          <t>p90 s</t>
        </is>
      </c>
      <c r="B25" t="n">
        <v>1.68</v>
      </c>
    </row>
    <row r="26">
      <c r="A26" t="inlineStr">
        <is>
          <t>max s</t>
        </is>
      </c>
      <c r="B26" t="n">
        <v>1.68</v>
      </c>
    </row>
    <row r="27">
      <c r="A27" t="inlineStr">
        <is>
          <t>min s</t>
        </is>
      </c>
      <c r="B27" t="n">
        <v>0.58</v>
      </c>
    </row>
    <row r="28">
      <c r="A28" t="inlineStr">
        <is>
          <t>avg KB</t>
        </is>
      </c>
      <c r="B28" t="n">
        <v>153.7</v>
      </c>
    </row>
    <row r="29">
      <c r="A29" t="inlineStr">
        <is>
          <t>avg first byte s</t>
        </is>
      </c>
      <c r="B29" t="n">
        <v>0.84</v>
      </c>
    </row>
    <row r="30"/>
    <row r="31">
      <c r="A31" t="inlineStr">
        <is>
          <t>CALL 4, trip detail (InTransit)</t>
        </is>
      </c>
    </row>
    <row r="32">
      <c r="A32" t="inlineStr">
        <is>
          <t>calls</t>
        </is>
      </c>
      <c r="B32" t="n">
        <v>4</v>
      </c>
    </row>
    <row r="33">
      <c r="A33" t="inlineStr">
        <is>
          <t>total s</t>
        </is>
      </c>
      <c r="B33" t="n">
        <v>4.3</v>
      </c>
    </row>
    <row r="34">
      <c r="A34" t="inlineStr">
        <is>
          <t>mean s</t>
        </is>
      </c>
      <c r="B34" t="n">
        <v>1.07</v>
      </c>
    </row>
    <row r="35">
      <c r="A35" t="inlineStr">
        <is>
          <t>median s</t>
        </is>
      </c>
      <c r="B35" t="n">
        <v>1</v>
      </c>
    </row>
    <row r="36">
      <c r="A36" t="inlineStr">
        <is>
          <t>p90 s</t>
        </is>
      </c>
      <c r="B36" t="n">
        <v>1.68</v>
      </c>
    </row>
    <row r="37">
      <c r="A37" t="inlineStr">
        <is>
          <t>max s</t>
        </is>
      </c>
      <c r="B37" t="n">
        <v>1.68</v>
      </c>
    </row>
    <row r="38">
      <c r="A38" t="inlineStr">
        <is>
          <t>min s</t>
        </is>
      </c>
      <c r="B38" t="n">
        <v>0.58</v>
      </c>
    </row>
    <row r="39">
      <c r="A39" t="inlineStr">
        <is>
          <t>avg KB</t>
        </is>
      </c>
      <c r="B39" t="n">
        <v>153.7</v>
      </c>
    </row>
    <row r="40">
      <c r="A40" t="inlineStr">
        <is>
          <t>avg first byte s</t>
        </is>
      </c>
      <c r="B40" t="n">
        <v>0.84</v>
      </c>
    </row>
    <row r="41"/>
    <row r="42">
      <c r="A42" t="inlineStr">
        <is>
          <t>Time inside the API calls, seconds</t>
        </is>
      </c>
      <c r="B42" t="n">
        <v>11.7</v>
      </c>
    </row>
    <row r="43">
      <c r="A43" t="inlineStr">
        <is>
          <t>Pauses between calls, seconds</t>
        </is>
      </c>
      <c r="B43" t="n">
        <v>24.8</v>
      </c>
    </row>
    <row r="44">
      <c r="A44" t="inlineStr">
        <is>
          <t>Wall-clock total, seconds</t>
        </is>
      </c>
      <c r="B44" t="n">
        <v>36.6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24" customWidth="1" min="3" max="3"/>
    <col width="22" customWidth="1" min="4" max="4"/>
    <col width="20" customWidth="1" min="5" max="5"/>
    <col width="20" customWidth="1" min="6" max="6"/>
    <col width="44" customWidth="1" min="7" max="7"/>
  </cols>
  <sheetData>
    <row r="1">
      <c r="A1" s="2" t="inlineStr">
        <is>
          <t>How long will it take?</t>
        </is>
      </c>
    </row>
    <row r="2">
      <c r="A2" t="inlineStr">
        <is>
          <t>Change the blue cells. Everything else is worked out from them.</t>
        </is>
      </c>
    </row>
    <row r="4">
      <c r="A4" s="1" t="inlineStr">
        <is>
          <t>Inputs</t>
        </is>
      </c>
    </row>
    <row r="5">
      <c r="A5" t="inlineStr">
        <is>
          <t>Calls the API allows per minute, per key</t>
        </is>
      </c>
      <c r="B5" s="6" t="n">
        <v>20</v>
      </c>
    </row>
    <row r="6">
      <c r="A6" t="inlineStr">
        <is>
          <t>Seconds between calls at that limit (60 / calls per minute)</t>
        </is>
      </c>
      <c r="B6">
        <f>60/B5</f>
        <v/>
      </c>
    </row>
    <row r="7">
      <c r="A7" t="inlineStr">
        <is>
          <t>Statuses searched (Arrived, InTransit = 2)</t>
        </is>
      </c>
      <c r="B7" s="6" t="n">
        <v>2</v>
      </c>
    </row>
    <row r="8">
      <c r="A8" t="inlineStr">
        <is>
          <t>Trips one search call returns</t>
        </is>
      </c>
      <c r="B8" s="6" t="n">
        <v>50</v>
      </c>
    </row>
    <row r="9">
      <c r="A9" t="inlineStr">
        <is>
          <t>Seconds one search call takes (measured)</t>
        </is>
      </c>
      <c r="B9" s="6" t="n">
        <v>1.9</v>
      </c>
    </row>
    <row r="10">
      <c r="A10" t="inlineStr">
        <is>
          <t>Seconds one trip-detail call takes (measured)</t>
        </is>
      </c>
      <c r="B10" s="6" t="n">
        <v>1.07</v>
      </c>
    </row>
    <row r="11">
      <c r="A11" t="inlineStr">
        <is>
          <t>Pause the script adds after every call, seconds</t>
        </is>
      </c>
      <c r="B11" s="6" t="n">
        <v>3.1</v>
      </c>
    </row>
    <row r="12">
      <c r="A12" t="inlineStr">
        <is>
          <t>Calls the API allows per hour, per key</t>
        </is>
      </c>
      <c r="B12" s="6" t="n">
        <v>1000</v>
      </c>
    </row>
    <row r="14">
      <c r="A14" s="1" t="inlineStr">
        <is>
          <t>The calculation, in plain words</t>
        </is>
      </c>
    </row>
    <row r="15">
      <c r="A15" t="inlineStr">
        <is>
          <t>1. Every trip needs one trip-detail call. So N trips = N detail calls.</t>
        </is>
      </c>
    </row>
    <row r="16">
      <c r="A16" t="inlineStr">
        <is>
          <t>2. Add the search: one call per status plus one more per 50 trips. Add 1 call for the login token.</t>
        </is>
      </c>
    </row>
    <row r="17">
      <c r="A17" t="inlineStr">
        <is>
          <t>3. Total calls = token + search calls + N.</t>
        </is>
      </c>
    </row>
    <row r="18">
      <c r="A18" t="inlineStr">
        <is>
          <t>4. TIME LIMIT BETWEEN CALLS: the API allows 20 calls a minute per key, which is one call every 3 seconds on average. So the fastest possible time with ONE key = total calls x 3 seconds.</t>
        </is>
      </c>
    </row>
    <row r="19">
      <c r="A19" t="inlineStr">
        <is>
          <t>5. With TWO keys the detail calls are shared out, each key making half of them (each key still keeps its own 3 seconds between its calls), so the time is about halved.</t>
        </is>
      </c>
    </row>
    <row r="20">
      <c r="A20" t="inlineStr">
        <is>
          <t>6. 'Today's script' is slower than the best case: after every call it waits 3.1 seconds, on top of the call's own time (about 1 second), so about 4.2 seconds per call.</t>
        </is>
      </c>
    </row>
    <row r="22">
      <c r="A22" s="1" t="inlineStr">
        <is>
          <t>Worked example for 100 trips</t>
        </is>
      </c>
    </row>
    <row r="23">
      <c r="A23" t="inlineStr">
        <is>
          <t>Trips</t>
        </is>
      </c>
      <c r="B23" s="6" t="n">
        <v>100</v>
      </c>
    </row>
    <row r="24">
      <c r="A24" t="inlineStr">
        <is>
          <t>Search calls (statuses + trips / 50, rounded up)</t>
        </is>
      </c>
      <c r="B24">
        <f>B7+ROUNDUP(B23/B8,0)</f>
        <v/>
      </c>
    </row>
    <row r="25">
      <c r="A25" t="inlineStr">
        <is>
          <t>Total calls (1 token + search + one per trip)</t>
        </is>
      </c>
      <c r="B25">
        <f>1+B24+B23</f>
        <v/>
      </c>
    </row>
    <row r="26">
      <c r="A26" t="inlineStr">
        <is>
          <t>Time limit between calls (per key)</t>
        </is>
      </c>
      <c r="B26">
        <f>TEXT(B6,"0.0")&amp;" seconds, on average (20 calls a minute)"</f>
        <v/>
      </c>
    </row>
    <row r="27">
      <c r="A27" t="inlineStr">
        <is>
          <t>Fastest possible with 1 key</t>
        </is>
      </c>
      <c r="B27">
        <f>TEXT(B25*B6,"0")&amp;" seconds  =  "&amp;TEXT(B25*B6/60,"0.0")&amp;" minutes"</f>
        <v/>
      </c>
    </row>
    <row r="28">
      <c r="A28" t="inlineStr">
        <is>
          <t>Fastest possible with 2 keys</t>
        </is>
      </c>
      <c r="B28">
        <f>TEXT((1+B24+ROUNDUP(B23/2,0))*B6,"0")&amp;" seconds  =  "&amp;TEXT((1+B24+ROUNDUP(B23/2,0))*B6/60,"0.0")&amp;" minutes"</f>
        <v/>
      </c>
    </row>
    <row r="29">
      <c r="A29" t="inlineStr">
        <is>
          <t>Today's script with 1 key</t>
        </is>
      </c>
      <c r="B29">
        <f>TEXT(B25*B11+B24*B9+B23*B10,"0")&amp;" seconds  =  "&amp;TEXT((B25*B11+B24*B9+B23*B10)/60,"0.0")&amp;" minutes"</f>
        <v/>
      </c>
    </row>
    <row r="31">
      <c r="A31" s="1" t="inlineStr">
        <is>
          <t>All sizes: 1 key and 2 keys, in minutes</t>
        </is>
      </c>
    </row>
    <row r="32">
      <c r="A32" s="1" t="inlineStr">
        <is>
          <t>Trips (N)</t>
        </is>
      </c>
      <c r="B32" s="1" t="inlineStr">
        <is>
          <t>Total calls</t>
        </is>
      </c>
      <c r="C32" s="1" t="inlineStr">
        <is>
          <t>Time limit between calls, s (per key)</t>
        </is>
      </c>
      <c r="D32" s="1" t="inlineStr">
        <is>
          <t>Today's script, 1 key (min)</t>
        </is>
      </c>
      <c r="E32" s="1" t="inlineStr">
        <is>
          <t>Fastest, 1 key (min)</t>
        </is>
      </c>
      <c r="F32" s="1" t="inlineStr">
        <is>
          <t>Fastest, 2 keys (min)</t>
        </is>
      </c>
      <c r="G32" s="1" t="inlineStr">
        <is>
          <t>Hourly cap per key (1000 calls)</t>
        </is>
      </c>
    </row>
    <row r="33">
      <c r="A33" s="6" t="n">
        <v>30</v>
      </c>
      <c r="B33">
        <f>1+($B$7+ROUNDUP(A33/$B$8,0))+A33</f>
        <v/>
      </c>
      <c r="C33" s="7">
        <f>$B$6</f>
        <v/>
      </c>
      <c r="D33" s="7">
        <f>(B33*$B$11+($B$7+ROUNDUP(A33/$B$8,0))*$B$9+A33*$B$10)/60</f>
        <v/>
      </c>
      <c r="E33" s="7">
        <f>B33*$B$6/60</f>
        <v/>
      </c>
      <c r="F33" s="7">
        <f>(1+($B$7+ROUNDUP(A33/$B$8,0))+ROUNDUP(A33/2,0))*$B$6/60</f>
        <v/>
      </c>
      <c r="G33">
        <f>IF(B33&gt;$B$12,"1 key: over (at least "&amp;TEXT(B33/$B$12,"0.0")&amp;" h); 2 keys: "&amp;IF(B33/2&gt;$B$12,"over","within"),"within")</f>
        <v/>
      </c>
    </row>
    <row r="34">
      <c r="A34" s="6" t="n">
        <v>50</v>
      </c>
      <c r="B34">
        <f>1+($B$7+ROUNDUP(A34/$B$8,0))+A34</f>
        <v/>
      </c>
      <c r="C34" s="7">
        <f>$B$6</f>
        <v/>
      </c>
      <c r="D34" s="7">
        <f>(B34*$B$11+($B$7+ROUNDUP(A34/$B$8,0))*$B$9+A34*$B$10)/60</f>
        <v/>
      </c>
      <c r="E34" s="7">
        <f>B34*$B$6/60</f>
        <v/>
      </c>
      <c r="F34" s="7">
        <f>(1+($B$7+ROUNDUP(A34/$B$8,0))+ROUNDUP(A34/2,0))*$B$6/60</f>
        <v/>
      </c>
      <c r="G34">
        <f>IF(B34&gt;$B$12,"1 key: over (at least "&amp;TEXT(B34/$B$12,"0.0")&amp;" h); 2 keys: "&amp;IF(B34/2&gt;$B$12,"over","within"),"within")</f>
        <v/>
      </c>
    </row>
    <row r="35">
      <c r="A35" s="6" t="n">
        <v>100</v>
      </c>
      <c r="B35">
        <f>1+($B$7+ROUNDUP(A35/$B$8,0))+A35</f>
        <v/>
      </c>
      <c r="C35" s="7">
        <f>$B$6</f>
        <v/>
      </c>
      <c r="D35" s="7">
        <f>(B35*$B$11+($B$7+ROUNDUP(A35/$B$8,0))*$B$9+A35*$B$10)/60</f>
        <v/>
      </c>
      <c r="E35" s="7">
        <f>B35*$B$6/60</f>
        <v/>
      </c>
      <c r="F35" s="7">
        <f>(1+($B$7+ROUNDUP(A35/$B$8,0))+ROUNDUP(A35/2,0))*$B$6/60</f>
        <v/>
      </c>
      <c r="G35">
        <f>IF(B35&gt;$B$12,"1 key: over (at least "&amp;TEXT(B35/$B$12,"0.0")&amp;" h); 2 keys: "&amp;IF(B35/2&gt;$B$12,"over","within"),"within")</f>
        <v/>
      </c>
    </row>
    <row r="36">
      <c r="A36" s="6" t="n">
        <v>250</v>
      </c>
      <c r="B36">
        <f>1+($B$7+ROUNDUP(A36/$B$8,0))+A36</f>
        <v/>
      </c>
      <c r="C36" s="7">
        <f>$B$6</f>
        <v/>
      </c>
      <c r="D36" s="7">
        <f>(B36*$B$11+($B$7+ROUNDUP(A36/$B$8,0))*$B$9+A36*$B$10)/60</f>
        <v/>
      </c>
      <c r="E36" s="7">
        <f>B36*$B$6/60</f>
        <v/>
      </c>
      <c r="F36" s="7">
        <f>(1+($B$7+ROUNDUP(A36/$B$8,0))+ROUNDUP(A36/2,0))*$B$6/60</f>
        <v/>
      </c>
      <c r="G36">
        <f>IF(B36&gt;$B$12,"1 key: over (at least "&amp;TEXT(B36/$B$12,"0.0")&amp;" h); 2 keys: "&amp;IF(B36/2&gt;$B$12,"over","within"),"within")</f>
        <v/>
      </c>
    </row>
    <row r="37">
      <c r="A37" s="6" t="n">
        <v>500</v>
      </c>
      <c r="B37">
        <f>1+($B$7+ROUNDUP(A37/$B$8,0))+A37</f>
        <v/>
      </c>
      <c r="C37" s="7">
        <f>$B$6</f>
        <v/>
      </c>
      <c r="D37" s="7">
        <f>(B37*$B$11+($B$7+ROUNDUP(A37/$B$8,0))*$B$9+A37*$B$10)/60</f>
        <v/>
      </c>
      <c r="E37" s="7">
        <f>B37*$B$6/60</f>
        <v/>
      </c>
      <c r="F37" s="7">
        <f>(1+($B$7+ROUNDUP(A37/$B$8,0))+ROUNDUP(A37/2,0))*$B$6/60</f>
        <v/>
      </c>
      <c r="G37">
        <f>IF(B37&gt;$B$12,"1 key: over (at least "&amp;TEXT(B37/$B$12,"0.0")&amp;" h); 2 keys: "&amp;IF(B37/2&gt;$B$12,"over","within"),"within")</f>
        <v/>
      </c>
    </row>
    <row r="38">
      <c r="A38" s="6" t="n">
        <v>1000</v>
      </c>
      <c r="B38">
        <f>1+($B$7+ROUNDUP(A38/$B$8,0))+A38</f>
        <v/>
      </c>
      <c r="C38" s="7">
        <f>$B$6</f>
        <v/>
      </c>
      <c r="D38" s="7">
        <f>(B38*$B$11+($B$7+ROUNDUP(A38/$B$8,0))*$B$9+A38*$B$10)/60</f>
        <v/>
      </c>
      <c r="E38" s="7">
        <f>B38*$B$6/60</f>
        <v/>
      </c>
      <c r="F38" s="7">
        <f>(1+($B$7+ROUNDUP(A38/$B$8,0))+ROUNDUP(A38/2,0))*$B$6/60</f>
        <v/>
      </c>
      <c r="G38">
        <f>IF(B38&gt;$B$12,"1 key: over (at least "&amp;TEXT(B38/$B$12,"0.0")&amp;" h); 2 keys: "&amp;IF(B38/2&gt;$B$12,"over","within"),"within")</f>
        <v/>
      </c>
    </row>
    <row r="39">
      <c r="A39" s="6" t="n">
        <v>2000</v>
      </c>
      <c r="B39">
        <f>1+($B$7+ROUNDUP(A39/$B$8,0))+A39</f>
        <v/>
      </c>
      <c r="C39" s="7">
        <f>$B$6</f>
        <v/>
      </c>
      <c r="D39" s="7">
        <f>(B39*$B$11+($B$7+ROUNDUP(A39/$B$8,0))*$B$9+A39*$B$10)/60</f>
        <v/>
      </c>
      <c r="E39" s="7">
        <f>B39*$B$6/60</f>
        <v/>
      </c>
      <c r="F39" s="7">
        <f>(1+($B$7+ROUNDUP(A39/$B$8,0))+ROUNDUP(A39/2,0))*$B$6/60</f>
        <v/>
      </c>
      <c r="G39">
        <f>IF(B39&gt;$B$12,"1 key: over (at least "&amp;TEXT(B39/$B$12,"0.0")&amp;" h); 2 keys: "&amp;IF(B39/2&gt;$B$12,"over","within"),"within")</f>
        <v/>
      </c>
    </row>
    <row r="41">
      <c r="A41" s="1" t="inlineStr">
        <is>
          <t>Notes</t>
        </is>
      </c>
    </row>
    <row r="42">
      <c r="A42" t="inlineStr">
        <is>
          <t>Minutes. 'Fastest' means calls spaced exactly at the time limit (3 seconds apart per key) with nothing wasted; real runs are a little slower.</t>
        </is>
      </c>
    </row>
    <row r="43">
      <c r="A43" t="inlineStr">
        <is>
          <t>The time limit is an average: the API counts 20 calls in any 60 seconds, so calls can also be made in a short burst as long as 20 a minute is not exceeded.</t>
        </is>
      </c>
    </row>
    <row r="44">
      <c r="A44" t="inlineStr">
        <is>
          <t>Two keys need a second subscription key from the SWP developer portal (approved by Sensitech) and the script split into two processes, one per key.</t>
        </is>
      </c>
    </row>
    <row r="45">
      <c r="A45" t="inlineStr">
        <is>
          <t>Whether the limit is counted per key is not stated in the guide; test it before relying on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6" customWidth="1" min="1" max="1"/>
    <col width="22" customWidth="1" min="2" max="2"/>
    <col width="22" customWidth="1" min="3" max="3"/>
    <col width="30" customWidth="1" min="4" max="4"/>
    <col width="28" customWidth="1" min="5" max="5"/>
    <col width="36" customWidth="1" min="6" max="6"/>
  </cols>
  <sheetData>
    <row r="1">
      <c r="A1" s="2" t="inlineStr">
        <is>
          <t>Timing and rate limits</t>
        </is>
      </c>
    </row>
    <row r="3">
      <c r="A3" s="3" t="inlineStr">
        <is>
          <t>1. Measured in this run</t>
        </is>
      </c>
    </row>
    <row r="4">
      <c r="A4" t="inlineStr">
        <is>
          <t>Trip search (call 2)</t>
        </is>
      </c>
      <c r="B4" t="inlineStr"/>
      <c r="C4" t="inlineStr"/>
      <c r="D4" t="inlineStr"/>
      <c r="E4" t="inlineStr"/>
    </row>
    <row r="5">
      <c r="A5" t="inlineStr">
        <is>
          <t xml:space="preserve">  calls (pages of up to 50 trips)</t>
        </is>
      </c>
      <c r="B5" t="n">
        <v>3</v>
      </c>
    </row>
    <row r="6">
      <c r="A6" t="inlineStr">
        <is>
          <t xml:space="preserve">  trips retrieved with the statuses asked for</t>
        </is>
      </c>
      <c r="B6" t="n">
        <v>93</v>
      </c>
      <c r="C6" t="inlineStr"/>
    </row>
    <row r="7">
      <c r="A7" t="inlineStr">
        <is>
          <t xml:space="preserve">  total time in the search calls, seconds</t>
        </is>
      </c>
      <c r="B7" t="n">
        <v>5.7</v>
      </c>
    </row>
    <row r="8">
      <c r="A8" t="inlineStr">
        <is>
          <t xml:space="preserve">  mean / slowest call, seconds</t>
        </is>
      </c>
      <c r="B8" t="n">
        <v>1.9</v>
      </c>
      <c r="C8" t="n">
        <v>3.14</v>
      </c>
    </row>
    <row r="9">
      <c r="A9" t="inlineStr">
        <is>
          <t xml:space="preserve">  mean seconds per search call</t>
        </is>
      </c>
      <c r="B9" t="n">
        <v>1.9</v>
      </c>
    </row>
    <row r="10">
      <c r="A10" t="inlineStr">
        <is>
          <t>Trip detail (call 4), one trip per call</t>
        </is>
      </c>
      <c r="B10" t="inlineStr"/>
      <c r="C10" t="inlineStr"/>
      <c r="D10" t="inlineStr"/>
      <c r="E10" t="inlineStr"/>
    </row>
    <row r="11">
      <c r="A11" t="inlineStr">
        <is>
          <t xml:space="preserve">  calls (trips)</t>
        </is>
      </c>
      <c r="B11" t="n">
        <v>4</v>
      </c>
    </row>
    <row r="12">
      <c r="A12" t="inlineStr">
        <is>
          <t xml:space="preserve">  mean seconds for one trip</t>
        </is>
      </c>
      <c r="B12" t="n">
        <v>1.07</v>
      </c>
    </row>
    <row r="13">
      <c r="A13" t="inlineStr">
        <is>
          <t xml:space="preserve">  median / fastest / slowest, seconds</t>
        </is>
      </c>
      <c r="B13" t="n">
        <v>1</v>
      </c>
      <c r="C13" t="n">
        <v>0.58</v>
      </c>
      <c r="D13" t="n">
        <v>1.68</v>
      </c>
    </row>
    <row r="14">
      <c r="A14" t="inlineStr">
        <is>
          <t xml:space="preserve">  average size of a detail answer, KB</t>
        </is>
      </c>
      <c r="B14" t="n">
        <v>153.7</v>
      </c>
    </row>
    <row r="15">
      <c r="A15" t="inlineStr">
        <is>
          <t>Pause the script leaves between calls, seconds</t>
        </is>
      </c>
      <c r="B15" t="n">
        <v>3.1</v>
      </c>
    </row>
    <row r="17">
      <c r="A17" s="3" t="inlineStr">
        <is>
          <t>2. Rate limits (SWP getting-started guide)</t>
        </is>
      </c>
    </row>
    <row r="18">
      <c r="A18" s="4" t="inlineStr">
        <is>
          <t>API product</t>
        </is>
      </c>
      <c r="B18" t="inlineStr">
        <is>
          <t>Calls per minute</t>
        </is>
      </c>
      <c r="C18" t="inlineStr">
        <is>
          <t>Calls per hour</t>
        </is>
      </c>
      <c r="D18" t="inlineStr">
        <is>
          <t>Average gap at the limit, s (60 / calls per minute)</t>
        </is>
      </c>
      <c r="E18" t="inlineStr">
        <is>
          <t>Pace sustained over an hour, s per call</t>
        </is>
      </c>
    </row>
    <row r="19">
      <c r="A19" t="inlineStr">
        <is>
          <t>external-trip: trip search, get trip, trip detail (calls 2, 3, 4)</t>
        </is>
      </c>
      <c r="B19" t="n">
        <v>20</v>
      </c>
      <c r="C19" t="n">
        <v>1000</v>
      </c>
      <c r="D19">
        <f>60/B19</f>
        <v/>
      </c>
      <c r="E19">
        <f>3600/MIN(B19*60,C19)</f>
        <v/>
      </c>
    </row>
    <row r="20">
      <c r="A20" t="inlineStr">
        <is>
          <t>external-trip-manage: create / update trip (not enabled here)</t>
        </is>
      </c>
      <c r="B20" t="n">
        <v>20</v>
      </c>
      <c r="C20" t="n">
        <v>500</v>
      </c>
      <c r="D20">
        <f>60/B20</f>
        <v/>
      </c>
      <c r="E20">
        <f>3600/MIN(B20*60,C20)</f>
        <v/>
      </c>
    </row>
    <row r="21">
      <c r="A21" t="inlineStr">
        <is>
          <t>external-trip-monitor: monitor (sensor) data (not used here)</t>
        </is>
      </c>
      <c r="B21" t="n">
        <v>30</v>
      </c>
      <c r="C21" t="n">
        <v>1000</v>
      </c>
      <c r="D21">
        <f>60/B21</f>
        <v/>
      </c>
      <c r="E21">
        <f>3600/MIN(B21*60,C21)</f>
        <v/>
      </c>
    </row>
    <row r="22">
      <c r="A22" t="inlineStr">
        <is>
          <t>Over the limit the API answers HTTP 429 (or 403). The script then waits 65 seconds and retries, up to 3 times.</t>
        </is>
      </c>
    </row>
    <row r="23">
      <c r="A23" t="inlineStr">
        <is>
          <t>Sensor-data answers can be too large: the guide advises asking for a few trips at a time (an overlarge answer can be an HTTP 500).</t>
        </is>
      </c>
    </row>
    <row r="24">
      <c r="A24" t="inlineStr">
        <is>
          <t>To go faster the guide suggests a parallel process with a different subscription key: see section 5.</t>
        </is>
      </c>
    </row>
    <row r="26">
      <c r="A26" s="3" t="inlineStr">
        <is>
          <t>3. What the limits mean</t>
        </is>
      </c>
    </row>
    <row r="27">
      <c r="A27" t="inlineStr">
        <is>
          <t>The limit is a number of calls per window (20 in any 60 seconds), not a required pause: calls can be made faster in a burst, as long as no more than 20 fall in one minute.</t>
        </is>
      </c>
    </row>
    <row r="28">
      <c r="A28" t="inlineStr">
        <is>
          <t>On average that is one call every 3 seconds. A call takes about 1 second, so the limit, not the API, sets the pace.</t>
        </is>
      </c>
    </row>
    <row r="29">
      <c r="A29" t="inlineStr">
        <is>
          <t>This script simply waits 3.1 s after every call. That is safe but a little slower than needed: with the call itself it makes about 14 calls a minute, not 20.</t>
        </is>
      </c>
    </row>
    <row r="30">
      <c r="A30" t="inlineStr">
        <is>
          <t>The hourly cap (1000) is lower than 20 a minute for an hour (1200): a run of more than about 50 minutes of calls reaches it.</t>
        </is>
      </c>
    </row>
    <row r="32">
      <c r="A32" s="3" t="inlineStr">
        <is>
          <t>4. How long will N trips take?</t>
        </is>
      </c>
    </row>
    <row r="33">
      <c r="A33" t="inlineStr">
        <is>
          <t>See the 'Simple estimate' tab: one table for one key and for several keys, in minutes, with the calculation in plain words.</t>
        </is>
      </c>
    </row>
    <row r="35">
      <c r="A35" s="3" t="inlineStr">
        <is>
          <t>5. Going faster: a second subscription key (a parallel process)</t>
        </is>
      </c>
    </row>
    <row r="36">
      <c r="A36" t="inlineStr">
        <is>
          <t>What the guide says: if you get HTTP 429/403 'space out your requests or create a parallel process by using a different subscription key'.</t>
        </is>
      </c>
    </row>
    <row r="37">
      <c r="A37" t="inlineStr">
        <is>
          <t>Why it works: the limits (20 calls a minute, 1000 an hour) are counted per subscription key. A second key has its own counter.</t>
        </is>
      </c>
    </row>
    <row r="38">
      <c r="A38" t="inlineStr">
        <is>
          <t>So two processes, each with its own key, can each make 20 calls a minute: 40 in all. N keys give about N times the speed.</t>
        </is>
      </c>
    </row>
    <row r="39">
      <c r="A39" t="inlineStr">
        <is>
          <t>Whether the limit is really counted per key depends on how Sensitech set it up (the guide does not say): test with both processes at once and watch for HTTP 429.</t>
        </is>
      </c>
    </row>
    <row r="41">
      <c r="A41" s="3" t="inlineStr">
        <is>
          <t>How to set it up</t>
        </is>
      </c>
    </row>
    <row r="42">
      <c r="A42" t="inlineStr">
        <is>
          <t>1. Developer portal: Products, the trip API product, Subscribe again under a new name (for example 'Trip API worker 2').</t>
        </is>
      </c>
    </row>
    <row r="43">
      <c r="A43" t="inlineStr">
        <is>
          <t>2. Sensitech approves the subscription and emails you; until then the key is visible in your profile but does not work.</t>
        </is>
      </c>
    </row>
    <row r="44">
      <c r="A44" t="inlineStr">
        <is>
          <t>3. Split the trips into lists and give each list to its own process, each with its own key and its own pause (about 3 s) between calls.</t>
        </is>
      </c>
    </row>
    <row r="45">
      <c r="A45" t="inlineStr">
        <is>
          <t>4. The login token (valid 1 hour) can be shared by all processes; only the trip calls need a process's own key.</t>
        </is>
      </c>
    </row>
    <row r="46">
      <c r="A46" t="inlineStr">
        <is>
          <t>5. Keep the search (call 2) in one process: it is only a few calls. Spread the detail calls (call 4), one per trip, across the keys.</t>
        </is>
      </c>
    </row>
    <row r="47">
      <c r="A47" t="inlineStr">
        <is>
          <t>In this app: SWP_TRIP_KEY is a single key and the client makes one call at a time; using several keys needs a list of keys (for example SWP_TRIP_KEYS).</t>
        </is>
      </c>
    </row>
    <row r="49">
      <c r="A49" t="inlineStr">
        <is>
          <t>The estimate for one key and for several keys is in the 'Simple estimate'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10" customWidth="1" min="4" max="4"/>
    <col width="12" customWidth="1" min="5" max="5"/>
    <col width="10" customWidth="1" min="6" max="6"/>
    <col width="8" customWidth="1" min="7" max="7"/>
    <col width="8" customWidth="1" min="8" max="8"/>
  </cols>
  <sheetData>
    <row r="1">
      <c r="A1" s="1" t="inlineStr">
        <is>
          <t>#</t>
        </is>
      </c>
      <c r="B1" s="1" t="inlineStr">
        <is>
          <t>Search</t>
        </is>
      </c>
      <c r="C1" s="1" t="inlineStr">
        <is>
          <t>Started</t>
        </is>
      </c>
      <c r="D1" s="1" t="inlineStr">
        <is>
          <t>Seconds</t>
        </is>
      </c>
      <c r="E1" s="1" t="inlineStr">
        <is>
          <t>First byte s</t>
        </is>
      </c>
      <c r="F1" s="1" t="inlineStr">
        <is>
          <t>KB</t>
        </is>
      </c>
      <c r="G1" s="1" t="inlineStr">
        <is>
          <t>HTTP</t>
        </is>
      </c>
      <c r="H1" s="1" t="inlineStr">
        <is>
          <t>Retries</t>
        </is>
      </c>
    </row>
    <row r="2">
      <c r="A2" t="n">
        <v>1</v>
      </c>
      <c r="B2" t="inlineStr">
        <is>
          <t>Arrived, page 0</t>
        </is>
      </c>
      <c r="C2" t="inlineStr">
        <is>
          <t>13:39:02</t>
        </is>
      </c>
      <c r="D2" t="n">
        <v>3.142</v>
      </c>
      <c r="E2" t="n">
        <v>1.969</v>
      </c>
      <c r="F2" t="n">
        <v>314.4</v>
      </c>
      <c r="G2" t="n">
        <v>200</v>
      </c>
      <c r="H2" t="n">
        <v>0</v>
      </c>
    </row>
    <row r="3">
      <c r="A3" t="n">
        <v>2</v>
      </c>
      <c r="B3" t="inlineStr">
        <is>
          <t>Arrived, page 1</t>
        </is>
      </c>
      <c r="C3" t="inlineStr">
        <is>
          <t>13:39:08</t>
        </is>
      </c>
      <c r="D3" t="n">
        <v>0.664</v>
      </c>
      <c r="E3" t="n">
        <v>0.662</v>
      </c>
      <c r="F3" t="n">
        <v>24.2</v>
      </c>
      <c r="G3" t="n">
        <v>200</v>
      </c>
      <c r="H3" t="n">
        <v>0</v>
      </c>
    </row>
    <row r="4">
      <c r="A4" t="n">
        <v>3</v>
      </c>
      <c r="B4" t="inlineStr">
        <is>
          <t>InTransit, page 0</t>
        </is>
      </c>
      <c r="C4" t="inlineStr">
        <is>
          <t>13:39:12</t>
        </is>
      </c>
      <c r="D4" t="n">
        <v>1.9</v>
      </c>
      <c r="E4" t="n">
        <v>1.661</v>
      </c>
      <c r="F4" t="n">
        <v>247.3</v>
      </c>
      <c r="G4" t="n">
        <v>200</v>
      </c>
      <c r="H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</cols>
  <sheetData>
    <row r="1">
      <c r="A1" s="1" t="inlineStr">
        <is>
          <t>#</t>
        </is>
      </c>
      <c r="B1" s="1" t="inlineStr">
        <is>
          <t>Trip</t>
        </is>
      </c>
      <c r="C1" s="1" t="inlineStr">
        <is>
          <t>Status</t>
        </is>
      </c>
      <c r="D1" s="1" t="inlineStr">
        <is>
          <t>Departure</t>
        </is>
      </c>
      <c r="E1" s="1" t="inlineStr">
        <is>
          <t>Started</t>
        </is>
      </c>
      <c r="F1" s="1" t="inlineStr">
        <is>
          <t>Seconds</t>
        </is>
      </c>
      <c r="G1" s="1" t="inlineStr">
        <is>
          <t>First byte s</t>
        </is>
      </c>
      <c r="H1" s="1" t="inlineStr">
        <is>
          <t>KB</t>
        </is>
      </c>
      <c r="I1" s="1" t="inlineStr">
        <is>
          <t>Readings</t>
        </is>
      </c>
      <c r="J1" s="1" t="inlineStr">
        <is>
          <t>HTTP</t>
        </is>
      </c>
      <c r="K1" s="1" t="inlineStr">
        <is>
          <t>Retries</t>
        </is>
      </c>
    </row>
    <row r="2">
      <c r="A2" t="n">
        <v>1</v>
      </c>
      <c r="B2" t="inlineStr">
        <is>
          <t>c6fb53fe-f653-4e80-95b0-c14231de34e4</t>
        </is>
      </c>
      <c r="C2" t="inlineStr">
        <is>
          <t>InTransit</t>
        </is>
      </c>
      <c r="D2" t="inlineStr">
        <is>
          <t>2026-09-22 08:29</t>
        </is>
      </c>
      <c r="E2" t="inlineStr">
        <is>
          <t>13:39:17</t>
        </is>
      </c>
      <c r="F2" t="n">
        <v>0.6</v>
      </c>
      <c r="G2" t="n">
        <v>0.599</v>
      </c>
      <c r="H2" t="n">
        <v>3.9</v>
      </c>
      <c r="I2" t="n">
        <v>0</v>
      </c>
      <c r="J2" t="n">
        <v>200</v>
      </c>
      <c r="K2" t="n">
        <v>0</v>
      </c>
    </row>
    <row r="3">
      <c r="A3" t="n">
        <v>2</v>
      </c>
      <c r="B3" t="inlineStr">
        <is>
          <t>8a201a87-a1f9-4a36-82bc-5994d5079baa</t>
        </is>
      </c>
      <c r="C3" t="inlineStr">
        <is>
          <t>InTransit</t>
        </is>
      </c>
      <c r="D3" t="inlineStr">
        <is>
          <t>2026-09-25 06:21</t>
        </is>
      </c>
      <c r="E3" t="inlineStr">
        <is>
          <t>13:39:20</t>
        </is>
      </c>
      <c r="F3" t="n">
        <v>0.583</v>
      </c>
      <c r="G3" t="n">
        <v>0.58</v>
      </c>
      <c r="H3" t="n">
        <v>20.9</v>
      </c>
      <c r="I3" t="n">
        <v>98</v>
      </c>
      <c r="J3" t="n">
        <v>200</v>
      </c>
      <c r="K3" t="n">
        <v>0</v>
      </c>
    </row>
    <row r="4">
      <c r="A4" t="n">
        <v>3</v>
      </c>
      <c r="B4" t="inlineStr">
        <is>
          <t>91bc2cef-5484-4982-b55c-9f95d1a76bc2</t>
        </is>
      </c>
      <c r="C4" t="inlineStr">
        <is>
          <t>InTransit</t>
        </is>
      </c>
      <c r="D4" t="inlineStr">
        <is>
          <t>2026-09-27 18:36</t>
        </is>
      </c>
      <c r="E4" t="inlineStr">
        <is>
          <t>13:39:24</t>
        </is>
      </c>
      <c r="F4" t="n">
        <v>1.678</v>
      </c>
      <c r="G4" t="n">
        <v>1.187</v>
      </c>
      <c r="H4" t="n">
        <v>376</v>
      </c>
      <c r="I4" t="n">
        <v>3978</v>
      </c>
      <c r="J4" t="n">
        <v>200</v>
      </c>
      <c r="K4" t="n">
        <v>0</v>
      </c>
    </row>
    <row r="5">
      <c r="A5" t="n">
        <v>4</v>
      </c>
      <c r="B5" t="inlineStr">
        <is>
          <t>e69bbc80-ba56-4536-aeb7-b308b0b0a562</t>
        </is>
      </c>
      <c r="C5" t="inlineStr">
        <is>
          <t>InTransit</t>
        </is>
      </c>
      <c r="D5" t="inlineStr">
        <is>
          <t>2026-09-28 20:51</t>
        </is>
      </c>
      <c r="E5" t="inlineStr">
        <is>
          <t>13:39:29</t>
        </is>
      </c>
      <c r="F5" t="n">
        <v>1.407</v>
      </c>
      <c r="G5" t="n">
        <v>0.988</v>
      </c>
      <c r="H5" t="n">
        <v>214</v>
      </c>
      <c r="I5" t="n">
        <v>1718</v>
      </c>
      <c r="J5" t="n">
        <v>200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2026-10-22T08:09:33Z</dcterms:created>
  <dcterms:modified xmlns:dcterms="http://purl.org/dc/terms/" xmlns:xsi="http://www.w3.org/2001/XMLSchema-instance" xsi:type="dcterms:W3CDTF">2026-10-22T09:05:01Z</dcterms:modified>
</cp:coreProperties>
</file>